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Y LAPTOP\Documents\00_COREHR DIGITAL PRODUCTS\Core_HR Product\02_HR FORMS, LETTERS &amp; TEMPLATES LIBRARY\HR_Forms Library\09_Performance_Mgt\"/>
    </mc:Choice>
  </mc:AlternateContent>
  <xr:revisionPtr revIDLastSave="0" documentId="8_{12999E47-FD49-496B-A06F-18CCB3936BD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erformance_Data" sheetId="1" r:id="rId1"/>
    <sheet name="Summary_Dashboard" sheetId="2" r:id="rId2"/>
    <sheet name="Settings" sheetId="3" r:id="rId3"/>
    <sheet name="Performance 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<sst xmlns="http://schemas.openxmlformats.org/spreadsheetml/2006/main" count="56" uniqueCount="40">
  <si>
    <t>S/N</t>
  </si>
  <si>
    <t>Employee Name</t>
  </si>
  <si>
    <t>Staff ID</t>
  </si>
  <si>
    <t>Department</t>
  </si>
  <si>
    <t>Job Title</t>
  </si>
  <si>
    <t>Review Period</t>
  </si>
  <si>
    <t>KPI Score (1-5)</t>
  </si>
  <si>
    <t>Competency Score (1-5)</t>
  </si>
  <si>
    <t>Average Score</t>
  </si>
  <si>
    <t>Performance Category</t>
  </si>
  <si>
    <t>Reviewer</t>
  </si>
  <si>
    <t>Comments</t>
  </si>
  <si>
    <t>Metric</t>
  </si>
  <si>
    <t>Value / Formula</t>
  </si>
  <si>
    <t>Notes</t>
  </si>
  <si>
    <t>Total Employees Reviewed</t>
  </si>
  <si>
    <t>Total number of appraisals completed</t>
  </si>
  <si>
    <t>Average KPI Score</t>
  </si>
  <si>
    <t>Average KPI rating</t>
  </si>
  <si>
    <t>Average Competency Score</t>
  </si>
  <si>
    <t>Average competency rating</t>
  </si>
  <si>
    <t>Overall Performance Score</t>
  </si>
  <si>
    <t>Combined KPI &amp; competency average</t>
  </si>
  <si>
    <t>High Performers (≥4.5)</t>
  </si>
  <si>
    <t>Employees rated as exceptional</t>
  </si>
  <si>
    <t>Needs Improvement (&lt;3.0)</t>
  </si>
  <si>
    <t>Employees requiring PIP support</t>
  </si>
  <si>
    <t>Item</t>
  </si>
  <si>
    <t>Value</t>
  </si>
  <si>
    <t>e.g., FY2025</t>
  </si>
  <si>
    <t>Rating Scale</t>
  </si>
  <si>
    <t>1 = Poor, 2 = Fair, 3 = Good, 4 = Very Good, 5 = Excellent</t>
  </si>
  <si>
    <t>Departments</t>
  </si>
  <si>
    <t>HR, Finance, Operations, Sales, IT, Admin, Marketing</t>
  </si>
  <si>
    <t>Performance Categories</t>
  </si>
  <si>
    <t>Exceptional, Meets Expectation, Needs Improvement, Unsatisfactory</t>
  </si>
  <si>
    <t>Prepared By</t>
  </si>
  <si>
    <t>Date Prepared</t>
  </si>
  <si>
    <t>CoreHR Annual Performance Summary</t>
  </si>
  <si>
    <t>Note: All calculations auto-update based on 'Performance_Data' sheet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</si>
</sst>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i/>
      <sz val="10"/>
      <color rgb="FF55555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B287"/>
        <bgColor rgb="FFC9B287"/>
      </patternFill>
    </fill>
    <fill>
      <patternFill patternType="solid">
        <fgColor rgb="FF00A65A"/>
        <bgColor rgb="FF00A65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sqref="A1:L8"/>
    </sheetView>
  </sheetViews>
  <sheetFormatPr defaultRowHeight="14.4" x14ac:dyDescent="0.3"/>
  <cols>
    <col min="1" max="1" width="9.21875" customWidth="1"/>
    <col min="2" max="12" width="22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11" sqref="C11"/>
    </sheetView>
  </sheetViews>
  <sheetFormatPr defaultRowHeight="14.4" x14ac:dyDescent="0.3"/>
  <cols>
    <col min="1" max="1" width="35" customWidth="1"/>
    <col min="2" max="2" width="35" style="13" customWidth="1"/>
    <col min="3" max="3" width="35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s="11" t="s">
        <v>15</v>
      </c>
      <c r="B2" s="12">
        <f>IFERROR(COUNTA(Performance_Data!A:A),0)</f>
        <v>1</v>
      </c>
      <c r="C2" s="11" t="s">
        <v>16</v>
      </c>
    </row>
    <row r="3" spans="1:3" x14ac:dyDescent="0.3">
      <c r="A3" s="11" t="s">
        <v>17</v>
      </c>
      <c r="B3" s="12">
        <f>IFERROR(AVERAGE(Performance_Data!D:D),0)</f>
        <v>0</v>
      </c>
      <c r="C3" s="11" t="s">
        <v>18</v>
      </c>
    </row>
    <row r="4" spans="1:3" x14ac:dyDescent="0.3">
      <c r="A4" s="11" t="s">
        <v>19</v>
      </c>
      <c r="B4" s="12">
        <f>IFERROR(AVERAGE(Performance_Data!E:E),0)</f>
        <v>0</v>
      </c>
      <c r="C4" s="11" t="s">
        <v>20</v>
      </c>
    </row>
    <row r="5" spans="1:3" x14ac:dyDescent="0.3">
      <c r="A5" s="11" t="s">
        <v>21</v>
      </c>
      <c r="B5" s="12">
        <f>IFERROR(AVERAGE(AVERAGE(Performance_Data!D:D),AVERAGE(Performance_Data!E:E)),0)</f>
        <v>0</v>
      </c>
      <c r="C5" s="11" t="s">
        <v>22</v>
      </c>
    </row>
    <row r="6" spans="1:3" x14ac:dyDescent="0.3">
      <c r="A6" s="11" t="s">
        <v>23</v>
      </c>
      <c r="B6" s="12">
        <f>IFERROR(COUNTIFS(Performance_Data!F:F,"&gt;=4.5"),0)</f>
        <v>0</v>
      </c>
      <c r="C6" s="11" t="s">
        <v>24</v>
      </c>
    </row>
    <row r="7" spans="1:3" x14ac:dyDescent="0.3">
      <c r="A7" s="11" t="s">
        <v>25</v>
      </c>
      <c r="B7" s="12">
        <f>IFERROR(COUNTIFS(Performance_Data!F:F,"&lt;3"),0)</f>
        <v>0</v>
      </c>
      <c r="C7" s="1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cols>
    <col min="1" max="2" width="40" customWidth="1"/>
  </cols>
  <sheetData>
    <row r="1" spans="1:2" x14ac:dyDescent="0.3">
      <c r="A1" s="2" t="s">
        <v>27</v>
      </c>
      <c r="B1" s="2" t="s">
        <v>28</v>
      </c>
    </row>
    <row r="2" spans="1:2" x14ac:dyDescent="0.3">
      <c r="A2" t="s">
        <v>5</v>
      </c>
      <c r="B2" t="s">
        <v>29</v>
      </c>
    </row>
    <row r="3" spans="1:2" x14ac:dyDescent="0.3">
      <c r="A3" t="s">
        <v>30</v>
      </c>
      <c r="B3" t="s">
        <v>31</v>
      </c>
    </row>
    <row r="4" spans="1:2" x14ac:dyDescent="0.3">
      <c r="A4" t="s">
        <v>32</v>
      </c>
      <c r="B4" t="s">
        <v>33</v>
      </c>
    </row>
    <row r="5" spans="1:2" x14ac:dyDescent="0.3">
      <c r="A5" t="s">
        <v>34</v>
      </c>
      <c r="B5" t="s">
        <v>35</v>
      </c>
    </row>
    <row r="6" spans="1:2" x14ac:dyDescent="0.3">
      <c r="A6" t="s">
        <v>36</v>
      </c>
    </row>
    <row r="7" spans="1:2" x14ac:dyDescent="0.3">
      <c r="A7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tabSelected="1" workbookViewId="0">
      <selection activeCell="C20" sqref="C20"/>
    </sheetView>
  </sheetViews>
  <sheetFormatPr defaultRowHeight="14.4" x14ac:dyDescent="0.3"/>
  <cols>
    <col min="1" max="1" width="35" customWidth="1"/>
    <col min="2" max="2" width="25" customWidth="1"/>
    <col min="3" max="3" width="60" customWidth="1"/>
  </cols>
  <sheetData>
    <row r="1" spans="1:3" ht="18" x14ac:dyDescent="0.3">
      <c r="A1" s="7" t="s">
        <v>38</v>
      </c>
      <c r="B1" s="8"/>
      <c r="C1" s="8"/>
    </row>
    <row r="3" spans="1:3" ht="15.6" x14ac:dyDescent="0.3">
      <c r="A3" s="3" t="s">
        <v>12</v>
      </c>
      <c r="B3" s="3" t="s">
        <v>13</v>
      </c>
      <c r="C3" s="3" t="s">
        <v>14</v>
      </c>
    </row>
    <row r="4" spans="1:3" x14ac:dyDescent="0.3">
      <c r="A4" s="4" t="s">
        <v>15</v>
      </c>
      <c r="B4" s="5">
        <f>IFERROR(COUNTA(Performance_Data!A:A),0)</f>
        <v>1</v>
      </c>
      <c r="C4" s="6" t="s">
        <v>16</v>
      </c>
    </row>
    <row r="5" spans="1:3" x14ac:dyDescent="0.3">
      <c r="A5" s="4" t="s">
        <v>17</v>
      </c>
      <c r="B5" s="5">
        <f>IFERROR(AVERAGE(Performance_Data!D:D),0)</f>
        <v>0</v>
      </c>
      <c r="C5" s="6" t="s">
        <v>18</v>
      </c>
    </row>
    <row r="6" spans="1:3" x14ac:dyDescent="0.3">
      <c r="A6" s="4" t="s">
        <v>19</v>
      </c>
      <c r="B6" s="5">
        <f>IFERROR(AVERAGE(Performance_Data!E:E),0)</f>
        <v>0</v>
      </c>
      <c r="C6" s="6" t="s">
        <v>20</v>
      </c>
    </row>
    <row r="7" spans="1:3" x14ac:dyDescent="0.3">
      <c r="A7" s="4" t="s">
        <v>21</v>
      </c>
      <c r="B7" s="5">
        <f>IFERROR(AVERAGE(AVERAGE(Performance_Data!D:D),AVERAGE(Performance_Data!E:E)),0)</f>
        <v>0</v>
      </c>
      <c r="C7" s="6" t="s">
        <v>22</v>
      </c>
    </row>
    <row r="8" spans="1:3" x14ac:dyDescent="0.3">
      <c r="A8" s="4" t="s">
        <v>23</v>
      </c>
      <c r="B8" s="5">
        <f>IFERROR(COUNTIFS(Performance_Data!F:F,"&gt;=4.5"),0)</f>
        <v>0</v>
      </c>
      <c r="C8" s="6" t="s">
        <v>24</v>
      </c>
    </row>
    <row r="9" spans="1:3" x14ac:dyDescent="0.3">
      <c r="A9" s="4" t="s">
        <v>25</v>
      </c>
      <c r="B9" s="5">
        <f>IFERROR(COUNTIFS(Performance_Data!F:F,"&lt;3"),0)</f>
        <v>0</v>
      </c>
      <c r="C9" s="6" t="s">
        <v>26</v>
      </c>
    </row>
    <row r="12" spans="1:3" x14ac:dyDescent="0.3">
      <c r="A12" s="9" t="s">
        <v>39</v>
      </c>
      <c r="B12" s="8"/>
      <c r="C12" s="8"/>
    </row>
  </sheetData>
  <mergeCells count="2">
    <mergeCell ref="A1:C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Performance_Data</vt:lpstr>
      <vt:lpstr>Summary_Dashboard</vt:lpstr>
      <vt:lpstr>Settings</vt:lpstr>
      <vt:lpstr>Performance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LAPTOP</cp:lastModifiedBy>
  <dcterms:created xsi:type="dcterms:W3CDTF">2025-10-30T07:31:01Z</dcterms:created>
  <dcterms:modified xsi:type="dcterms:W3CDTF">2025-10-30T07:53:10Z</dcterms:modified>
</cp:coreProperties>
</file>