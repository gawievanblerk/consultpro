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4_Performance\"/>
    </mc:Choice>
  </mc:AlternateContent>
  <xr:revisionPtr revIDLastSave="0" documentId="13_ncr:20001_{8FD38ACE-50D7-4A0D-BEE8-C2A1C4BAD2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 for use" sheetId="4" r:id="rId1"/>
    <sheet name="Training_Attendance_Register" sheetId="1" r:id="rId2"/>
    <sheet name="Summary" sheetId="2" r:id="rId3"/>
    <sheet name="Settings" sheetId="3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B3" i="2" a="1"/>
  <c r="B3" i="2" s="1"/>
  <c r="B4" i="2" a="1"/>
  <c r="B4" i="2" s="1"/>
  <c r="B5" i="2" a="1"/>
  <c r="B5" i="2" s="1"/>
  <c r="B6" i="2" a="1"/>
  <c r="B6" i="2" s="1"/>
  <c r="B2" i="2" a="1"/>
  <c r="B2" i="2" s="1"/>
  <c r="A3" i="2" a="1"/>
  <c r="A3" i="2" s="1"/>
  <c r="A4" i="2" a="1"/>
  <c r="A4" i="2" s="1"/>
  <c r="A5" i="2" a="1"/>
  <c r="A5" i="2" s="1"/>
  <c r="A6" i="2" a="1"/>
  <c r="A6" i="2"/>
  <c r="A2" i="2" a="1"/>
  <c r="A2" i="2" s="1"/>
  <c r="J3" i="1"/>
  <c r="J4" i="1"/>
  <c r="J5" i="1"/>
  <c r="J6" i="1"/>
  <c r="J7" i="1"/>
  <c r="J8" i="1"/>
  <c r="J9" i="1"/>
  <c r="J10" i="1"/>
  <c r="J2" i="1"/>
  <c r="E6" i="2" l="1" a="1"/>
  <c r="E6" i="2" s="1"/>
  <c r="D6" i="2" a="1"/>
  <c r="D6" i="2" s="1"/>
  <c r="E5" i="2" a="1"/>
  <c r="E5" i="2" s="1"/>
  <c r="D5" i="2" a="1"/>
  <c r="D5" i="2" s="1"/>
  <c r="E4" i="2" a="1"/>
  <c r="E4" i="2" s="1"/>
  <c r="D4" i="2" a="1"/>
  <c r="D4" i="2" s="1"/>
  <c r="E3" i="2" a="1"/>
  <c r="E3" i="2" s="1"/>
  <c r="D3" i="2" a="1"/>
  <c r="D3" i="2" s="1"/>
  <c r="E2" i="2" a="1"/>
  <c r="E2" i="2" s="1"/>
  <c r="D2" i="2" a="1"/>
  <c r="D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<sst xmlns="http://schemas.openxmlformats.org/spreadsheetml/2006/main" count="116" uniqueCount="82">
  <si>
    <t>S/N</t>
  </si>
  <si>
    <t>Employee Name</t>
  </si>
  <si>
    <t>Staff ID</t>
  </si>
  <si>
    <t>Department</t>
  </si>
  <si>
    <t>Job Title</t>
  </si>
  <si>
    <t>Training Title</t>
  </si>
  <si>
    <t>Training Date</t>
  </si>
  <si>
    <t>Sign-In Time</t>
  </si>
  <si>
    <t>Sign-Out Time</t>
  </si>
  <si>
    <t>Total Hours</t>
  </si>
  <si>
    <t>Trainer / Facilitator Name</t>
  </si>
  <si>
    <t>Signature (Participant)</t>
  </si>
  <si>
    <t>Remarks</t>
  </si>
  <si>
    <t>Total Participants</t>
  </si>
  <si>
    <t>Average Hours Trained</t>
  </si>
  <si>
    <t>No. of Training Days</t>
  </si>
  <si>
    <t>Facilitators Involved</t>
  </si>
  <si>
    <t>Item</t>
  </si>
  <si>
    <t>Value</t>
  </si>
  <si>
    <t>Default Training Hours</t>
  </si>
  <si>
    <t>8</t>
  </si>
  <si>
    <t>Start Time</t>
  </si>
  <si>
    <t>9:00 AM</t>
  </si>
  <si>
    <t>End Time</t>
  </si>
  <si>
    <t>5:00 PM</t>
  </si>
  <si>
    <t>Departments</t>
  </si>
  <si>
    <t>HR, Finance, Operations, IT, Sales</t>
  </si>
  <si>
    <t>Year</t>
  </si>
  <si>
    <t>2025</t>
  </si>
  <si>
    <t>Instructions for Use</t>
  </si>
  <si>
    <t>5️⃣ Keep a digital and signed copy in each employee’s training record.</t>
  </si>
  <si>
    <t>SHEET 1: Training_Attendance_Register</t>
  </si>
  <si>
    <t>Column</t>
  </si>
  <si>
    <t>Header</t>
  </si>
  <si>
    <t>Description</t>
  </si>
  <si>
    <t>A</t>
  </si>
  <si>
    <t>Serial number (autofill)</t>
  </si>
  <si>
    <t>B</t>
  </si>
  <si>
    <t>Full name of participant</t>
  </si>
  <si>
    <t>C</t>
  </si>
  <si>
    <t>Unique employee ID (optional)</t>
  </si>
  <si>
    <t>D</t>
  </si>
  <si>
    <t>Participant’s department</t>
  </si>
  <si>
    <t>E</t>
  </si>
  <si>
    <t>Role or position</t>
  </si>
  <si>
    <t>F</t>
  </si>
  <si>
    <t>Course name or module</t>
  </si>
  <si>
    <t>G</t>
  </si>
  <si>
    <t>Actual date of training</t>
  </si>
  <si>
    <t>H</t>
  </si>
  <si>
    <t>Arrival time</t>
  </si>
  <si>
    <t>I</t>
  </si>
  <si>
    <t>Departure time</t>
  </si>
  <si>
    <t>J</t>
  </si>
  <si>
    <t>K</t>
  </si>
  <si>
    <t>Name of trainer</t>
  </si>
  <si>
    <t>L</t>
  </si>
  <si>
    <t>To be physically signed or typed</t>
  </si>
  <si>
    <t>M</t>
  </si>
  <si>
    <t>Attendance notes (e.g., Late, Full Day, Excused)</t>
  </si>
  <si>
    <t>Freeze the top row (A1:M1).</t>
  </si>
  <si>
    <t>Widen columns A–M (~20 width average).</t>
  </si>
  <si>
    <t>Use data validation for “Department” (list from Settings sheet).</t>
  </si>
  <si>
    <t>SHEET 2: Summary</t>
  </si>
  <si>
    <t>Lists unique departments from the main sheet</t>
  </si>
  <si>
    <t>(Enter list e.g. HR, Finance, Operations, IT, Sales)</t>
  </si>
  <si>
    <t>💡 Cells in this sheet should be referenced by the main sheet (e.g. for data validation lists and formulas).</t>
  </si>
  <si>
    <t>Footer:</t>
  </si>
  <si>
    <t>© CoreHR Consulting | All Rights Reserved</t>
  </si>
  <si>
    <t>=AVERAGEIFS(Training_Attendance_Register!J:J,Training_Attendance_Register!D:D,A2)</t>
  </si>
  <si>
    <t>=COUNTA(FILTER(Training_Attendance_Register!D:D,Training_Attendance_Register!D:D=A2))</t>
  </si>
  <si>
    <t>=COUNTA(UNIQUE(FILTER(Training_Attendance_Register!G:G,Training_Attendance_Register!D:D=A2)))</t>
  </si>
  <si>
    <t>=COUNTA(UNIQUE(FILTER(Training_Attendance_Register!K:K,Training_Attendance_Register!D:D=A2)))</t>
  </si>
  <si>
    <r>
      <t xml:space="preserve">= </t>
    </r>
    <r>
      <rPr>
        <sz val="10"/>
        <color theme="1"/>
        <rFont val="Arial"/>
        <family val="2"/>
      </rPr>
      <t>(I2-H2)*24</t>
    </r>
    <r>
      <rPr>
        <sz val="11"/>
        <color theme="1"/>
        <rFont val="Arial"/>
        <family val="2"/>
      </rPr>
      <t xml:space="preserve"> (formatted as number of hours)</t>
    </r>
  </si>
  <si>
    <r>
      <t xml:space="preserve">💡 </t>
    </r>
    <r>
      <rPr>
        <b/>
        <sz val="11"/>
        <color theme="1"/>
        <rFont val="Arial"/>
        <family val="2"/>
      </rPr>
      <t>Formatting Tips</t>
    </r>
  </si>
  <si>
    <r>
      <t xml:space="preserve">Apply beige </t>
    </r>
    <r>
      <rPr>
        <sz val="10"/>
        <color theme="1"/>
        <rFont val="Arial"/>
        <family val="2"/>
      </rPr>
      <t>#c9b287</t>
    </r>
    <r>
      <rPr>
        <sz val="11"/>
        <color theme="1"/>
        <rFont val="Arial"/>
        <family val="2"/>
      </rPr>
      <t xml:space="preserve"> fill with bold black font for headers.</t>
    </r>
  </si>
  <si>
    <r>
      <t xml:space="preserve">💡 </t>
    </r>
    <r>
      <rPr>
        <b/>
        <sz val="11"/>
        <color theme="1"/>
        <rFont val="Arial"/>
        <family val="2"/>
      </rPr>
      <t>Add a department-level chart</t>
    </r>
    <r>
      <rPr>
        <sz val="11"/>
        <color theme="1"/>
        <rFont val="Arial"/>
        <family val="2"/>
      </rPr>
      <t xml:space="preserve"> (optional) — bar chart showing total participants vs average hours.</t>
    </r>
  </si>
  <si>
    <r>
      <t xml:space="preserve">1️⃣ Before training, HR completes the </t>
    </r>
    <r>
      <rPr>
        <b/>
        <sz val="11"/>
        <color theme="1"/>
        <rFont val="Arial"/>
        <family val="2"/>
      </rPr>
      <t>Settings</t>
    </r>
    <r>
      <rPr>
        <sz val="11"/>
        <color theme="1"/>
        <rFont val="Arial"/>
        <family val="2"/>
      </rPr>
      <t xml:space="preserve"> sheet and enters training title &amp; dates.</t>
    </r>
  </si>
  <si>
    <r>
      <t xml:space="preserve">2️⃣ Each day, attendance is recorded on the </t>
    </r>
    <r>
      <rPr>
        <b/>
        <sz val="11"/>
        <color theme="1"/>
        <rFont val="Arial"/>
        <family val="2"/>
      </rPr>
      <t>Training_Attendance_Register</t>
    </r>
    <r>
      <rPr>
        <sz val="11"/>
        <color theme="1"/>
        <rFont val="Arial"/>
        <family val="2"/>
      </rPr>
      <t>.</t>
    </r>
  </si>
  <si>
    <r>
      <t xml:space="preserve">3️⃣ After training, HR reviews attendance accuracy and updates the </t>
    </r>
    <r>
      <rPr>
        <b/>
        <sz val="11"/>
        <color theme="1"/>
        <rFont val="Arial"/>
        <family val="2"/>
      </rPr>
      <t>Summary</t>
    </r>
    <r>
      <rPr>
        <sz val="11"/>
        <color theme="1"/>
        <rFont val="Arial"/>
        <family val="2"/>
      </rPr>
      <t xml:space="preserve"> sheet automatically.</t>
    </r>
  </si>
  <si>
    <r>
      <t xml:space="preserve">4️⃣ Save a copy of the file with the training title and month (e.g., </t>
    </r>
    <r>
      <rPr>
        <sz val="10"/>
        <color theme="1"/>
        <rFont val="Arial"/>
        <family val="2"/>
      </rPr>
      <t>Customer_Service_Training_July 2025.xlsx</t>
    </r>
    <r>
      <rPr>
        <sz val="11"/>
        <color theme="1"/>
        <rFont val="Arial"/>
        <family val="2"/>
      </rPr>
      <t>).</t>
    </r>
  </si>
  <si>
    <t>SHEET 3: Settings(Demo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</si>
</sst>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B287"/>
        <bgColor rgb="FFC9B28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420B-80DE-4FA3-BB8F-862E9DB3C1D4}">
  <dimension ref="A1:K46"/>
  <sheetViews>
    <sheetView showGridLines="0" workbookViewId="0">
      <selection activeCell="H13" sqref="H13"/>
    </sheetView>
  </sheetViews>
  <sheetFormatPr defaultColWidth="25.6640625" defaultRowHeight="13.8" x14ac:dyDescent="0.25"/>
  <cols>
    <col min="1" max="1" width="9.44140625" style="8" customWidth="1"/>
    <col min="2" max="4" width="25.6640625" style="8"/>
    <col min="5" max="5" width="7.44140625" style="8" customWidth="1"/>
    <col min="6" max="6" width="10.109375" style="8" customWidth="1"/>
    <col min="7" max="8" width="25.6640625" style="8"/>
    <col min="9" max="9" width="7" style="8" customWidth="1"/>
    <col min="10" max="10" width="20.109375" style="8" customWidth="1"/>
    <col min="11" max="11" width="24.6640625" style="8" customWidth="1"/>
    <col min="12" max="16384" width="25.6640625" style="8"/>
  </cols>
  <sheetData>
    <row r="1" spans="1:11" ht="17.399999999999999" x14ac:dyDescent="0.25">
      <c r="A1" s="7"/>
      <c r="B1" s="7" t="s">
        <v>31</v>
      </c>
      <c r="F1" s="7" t="s">
        <v>63</v>
      </c>
      <c r="J1" s="7" t="s">
        <v>81</v>
      </c>
    </row>
    <row r="3" spans="1:11" s="9" customFormat="1" x14ac:dyDescent="0.3">
      <c r="B3" s="10" t="s">
        <v>32</v>
      </c>
      <c r="C3" s="10" t="s">
        <v>33</v>
      </c>
      <c r="D3" s="10" t="s">
        <v>34</v>
      </c>
      <c r="F3" s="12" t="s">
        <v>32</v>
      </c>
      <c r="G3" s="12" t="s">
        <v>33</v>
      </c>
      <c r="H3" s="12" t="s">
        <v>34</v>
      </c>
      <c r="J3" s="10" t="s">
        <v>17</v>
      </c>
      <c r="K3" s="10" t="s">
        <v>18</v>
      </c>
    </row>
    <row r="4" spans="1:11" ht="27.6" x14ac:dyDescent="0.25">
      <c r="B4" s="10" t="s">
        <v>35</v>
      </c>
      <c r="C4" s="11" t="s">
        <v>0</v>
      </c>
      <c r="D4" s="11" t="s">
        <v>36</v>
      </c>
      <c r="F4" s="11" t="s">
        <v>35</v>
      </c>
      <c r="G4" s="11" t="s">
        <v>3</v>
      </c>
      <c r="H4" s="11" t="s">
        <v>64</v>
      </c>
      <c r="J4" s="11" t="s">
        <v>19</v>
      </c>
      <c r="K4" s="14">
        <v>8</v>
      </c>
    </row>
    <row r="5" spans="1:11" ht="52.8" x14ac:dyDescent="0.25">
      <c r="B5" s="10" t="s">
        <v>37</v>
      </c>
      <c r="C5" s="11" t="s">
        <v>1</v>
      </c>
      <c r="D5" s="11" t="s">
        <v>38</v>
      </c>
      <c r="F5" s="11" t="s">
        <v>37</v>
      </c>
      <c r="G5" s="11" t="s">
        <v>13</v>
      </c>
      <c r="H5" s="13" t="s">
        <v>70</v>
      </c>
      <c r="J5" s="11" t="s">
        <v>21</v>
      </c>
      <c r="K5" s="15">
        <v>0.375</v>
      </c>
    </row>
    <row r="6" spans="1:11" ht="52.8" x14ac:dyDescent="0.25">
      <c r="B6" s="10" t="s">
        <v>39</v>
      </c>
      <c r="C6" s="11" t="s">
        <v>2</v>
      </c>
      <c r="D6" s="11" t="s">
        <v>40</v>
      </c>
      <c r="F6" s="11" t="s">
        <v>39</v>
      </c>
      <c r="G6" s="11" t="s">
        <v>14</v>
      </c>
      <c r="H6" s="13" t="s">
        <v>69</v>
      </c>
      <c r="J6" s="11" t="s">
        <v>23</v>
      </c>
      <c r="K6" s="15">
        <v>0.70833333333333337</v>
      </c>
    </row>
    <row r="7" spans="1:11" ht="52.8" x14ac:dyDescent="0.25">
      <c r="B7" s="10" t="s">
        <v>41</v>
      </c>
      <c r="C7" s="11" t="s">
        <v>3</v>
      </c>
      <c r="D7" s="11" t="s">
        <v>42</v>
      </c>
      <c r="F7" s="11" t="s">
        <v>41</v>
      </c>
      <c r="G7" s="11" t="s">
        <v>15</v>
      </c>
      <c r="H7" s="13" t="s">
        <v>71</v>
      </c>
      <c r="J7" s="11" t="s">
        <v>25</v>
      </c>
      <c r="K7" s="14" t="s">
        <v>65</v>
      </c>
    </row>
    <row r="8" spans="1:11" ht="52.8" x14ac:dyDescent="0.25">
      <c r="B8" s="10" t="s">
        <v>43</v>
      </c>
      <c r="C8" s="11" t="s">
        <v>4</v>
      </c>
      <c r="D8" s="11" t="s">
        <v>44</v>
      </c>
      <c r="F8" s="11" t="s">
        <v>43</v>
      </c>
      <c r="G8" s="11" t="s">
        <v>16</v>
      </c>
      <c r="H8" s="13" t="s">
        <v>72</v>
      </c>
      <c r="J8" s="11" t="s">
        <v>27</v>
      </c>
      <c r="K8" s="14">
        <v>2025</v>
      </c>
    </row>
    <row r="9" spans="1:11" x14ac:dyDescent="0.25">
      <c r="B9" s="10" t="s">
        <v>45</v>
      </c>
      <c r="C9" s="11" t="s">
        <v>5</v>
      </c>
      <c r="D9" s="11" t="s">
        <v>46</v>
      </c>
    </row>
    <row r="10" spans="1:11" x14ac:dyDescent="0.25">
      <c r="B10" s="10" t="s">
        <v>47</v>
      </c>
      <c r="C10" s="11" t="s">
        <v>6</v>
      </c>
      <c r="D10" s="11" t="s">
        <v>48</v>
      </c>
    </row>
    <row r="11" spans="1:11" x14ac:dyDescent="0.25">
      <c r="B11" s="10" t="s">
        <v>49</v>
      </c>
      <c r="C11" s="11" t="s">
        <v>7</v>
      </c>
      <c r="D11" s="11" t="s">
        <v>50</v>
      </c>
    </row>
    <row r="12" spans="1:11" x14ac:dyDescent="0.25">
      <c r="B12" s="10" t="s">
        <v>51</v>
      </c>
      <c r="C12" s="11" t="s">
        <v>8</v>
      </c>
      <c r="D12" s="11" t="s">
        <v>52</v>
      </c>
    </row>
    <row r="13" spans="1:11" ht="26.4" customHeight="1" x14ac:dyDescent="0.25">
      <c r="B13" s="10" t="s">
        <v>53</v>
      </c>
      <c r="C13" s="11" t="s">
        <v>9</v>
      </c>
      <c r="D13" s="11" t="s">
        <v>73</v>
      </c>
    </row>
    <row r="14" spans="1:11" ht="21" customHeight="1" x14ac:dyDescent="0.25">
      <c r="B14" s="10" t="s">
        <v>54</v>
      </c>
      <c r="C14" s="11" t="s">
        <v>10</v>
      </c>
      <c r="D14" s="11" t="s">
        <v>55</v>
      </c>
    </row>
    <row r="15" spans="1:11" ht="33" customHeight="1" x14ac:dyDescent="0.25">
      <c r="B15" s="10" t="s">
        <v>56</v>
      </c>
      <c r="C15" s="11" t="s">
        <v>11</v>
      </c>
      <c r="D15" s="11" t="s">
        <v>57</v>
      </c>
    </row>
    <row r="16" spans="1:11" ht="28.8" customHeight="1" x14ac:dyDescent="0.25">
      <c r="B16" s="10" t="s">
        <v>58</v>
      </c>
      <c r="C16" s="11" t="s">
        <v>12</v>
      </c>
      <c r="D16" s="11" t="s">
        <v>59</v>
      </c>
    </row>
    <row r="18" spans="2:2" x14ac:dyDescent="0.25">
      <c r="B18" s="8" t="s">
        <v>74</v>
      </c>
    </row>
    <row r="19" spans="2:2" x14ac:dyDescent="0.25">
      <c r="B19" s="16"/>
    </row>
    <row r="20" spans="2:2" x14ac:dyDescent="0.25">
      <c r="B20" s="16" t="s">
        <v>60</v>
      </c>
    </row>
    <row r="21" spans="2:2" x14ac:dyDescent="0.25">
      <c r="B21" s="16"/>
    </row>
    <row r="22" spans="2:2" x14ac:dyDescent="0.25">
      <c r="B22" s="16" t="s">
        <v>75</v>
      </c>
    </row>
    <row r="23" spans="2:2" x14ac:dyDescent="0.25">
      <c r="B23" s="16"/>
    </row>
    <row r="24" spans="2:2" x14ac:dyDescent="0.25">
      <c r="B24" s="16" t="s">
        <v>61</v>
      </c>
    </row>
    <row r="25" spans="2:2" x14ac:dyDescent="0.25">
      <c r="B25" s="16"/>
    </row>
    <row r="26" spans="2:2" x14ac:dyDescent="0.25">
      <c r="B26" s="16" t="s">
        <v>62</v>
      </c>
    </row>
    <row r="28" spans="2:2" x14ac:dyDescent="0.25">
      <c r="B28" s="8" t="s">
        <v>76</v>
      </c>
    </row>
    <row r="30" spans="2:2" x14ac:dyDescent="0.25">
      <c r="B30" s="8" t="s">
        <v>66</v>
      </c>
    </row>
    <row r="34" spans="2:2" ht="17.399999999999999" x14ac:dyDescent="0.25">
      <c r="B34" s="7" t="s">
        <v>29</v>
      </c>
    </row>
    <row r="36" spans="2:2" x14ac:dyDescent="0.25">
      <c r="B36" s="8" t="s">
        <v>77</v>
      </c>
    </row>
    <row r="37" spans="2:2" x14ac:dyDescent="0.25">
      <c r="B37" s="8" t="s">
        <v>78</v>
      </c>
    </row>
    <row r="38" spans="2:2" x14ac:dyDescent="0.25">
      <c r="B38" s="8" t="s">
        <v>79</v>
      </c>
    </row>
    <row r="39" spans="2:2" x14ac:dyDescent="0.25">
      <c r="B39" s="8" t="s">
        <v>80</v>
      </c>
    </row>
    <row r="40" spans="2:2" x14ac:dyDescent="0.25">
      <c r="B40" s="8" t="s">
        <v>30</v>
      </c>
    </row>
    <row r="44" spans="2:2" ht="17.399999999999999" x14ac:dyDescent="0.25">
      <c r="B44" s="7" t="s">
        <v>67</v>
      </c>
    </row>
    <row r="46" spans="2:2" x14ac:dyDescent="0.25">
      <c r="B46" s="8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D1" workbookViewId="0">
      <selection activeCell="G3" sqref="G3"/>
    </sheetView>
  </sheetViews>
  <sheetFormatPr defaultRowHeight="29.4" customHeight="1" x14ac:dyDescent="0.3"/>
  <cols>
    <col min="1" max="9" width="20" customWidth="1"/>
    <col min="10" max="10" width="10.5546875" style="5" bestFit="1" customWidth="1"/>
    <col min="11" max="11" width="22.6640625" bestFit="1" customWidth="1"/>
    <col min="12" max="13" width="20" customWidth="1"/>
  </cols>
  <sheetData>
    <row r="1" spans="1:13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ht="29.4" customHeight="1" x14ac:dyDescent="0.3">
      <c r="A2" s="3"/>
      <c r="B2" s="3"/>
      <c r="C2" s="3"/>
      <c r="D2" s="3"/>
      <c r="E2" s="3"/>
      <c r="F2" s="3"/>
      <c r="G2" s="3"/>
      <c r="H2" s="3"/>
      <c r="I2" s="3"/>
      <c r="J2" s="4">
        <f xml:space="preserve"> (I2-H2)*24</f>
        <v>0</v>
      </c>
      <c r="K2" s="3"/>
      <c r="L2" s="3"/>
      <c r="M2" s="3"/>
    </row>
    <row r="3" spans="1:13" ht="29.4" customHeight="1" x14ac:dyDescent="0.3">
      <c r="A3" s="3"/>
      <c r="B3" s="3"/>
      <c r="C3" s="3"/>
      <c r="D3" s="3"/>
      <c r="E3" s="3"/>
      <c r="F3" s="3"/>
      <c r="G3" s="3"/>
      <c r="H3" s="3"/>
      <c r="I3" s="3"/>
      <c r="J3" s="4">
        <f t="shared" ref="J3:J10" si="0" xml:space="preserve"> (I3-H3)*24</f>
        <v>0</v>
      </c>
      <c r="K3" s="3"/>
      <c r="L3" s="3"/>
      <c r="M3" s="3"/>
    </row>
    <row r="4" spans="1:13" ht="29.4" customHeight="1" x14ac:dyDescent="0.3">
      <c r="A4" s="3"/>
      <c r="B4" s="3"/>
      <c r="C4" s="3"/>
      <c r="D4" s="3"/>
      <c r="E4" s="3"/>
      <c r="F4" s="3"/>
      <c r="G4" s="3"/>
      <c r="H4" s="3"/>
      <c r="I4" s="3"/>
      <c r="J4" s="4">
        <f t="shared" si="0"/>
        <v>0</v>
      </c>
      <c r="K4" s="3"/>
      <c r="L4" s="3"/>
      <c r="M4" s="3"/>
    </row>
    <row r="5" spans="1:13" ht="29.4" customHeight="1" x14ac:dyDescent="0.3">
      <c r="A5" s="3"/>
      <c r="B5" s="3"/>
      <c r="C5" s="3"/>
      <c r="D5" s="3"/>
      <c r="E5" s="3"/>
      <c r="F5" s="3"/>
      <c r="G5" s="3"/>
      <c r="H5" s="3"/>
      <c r="I5" s="3"/>
      <c r="J5" s="4">
        <f t="shared" si="0"/>
        <v>0</v>
      </c>
      <c r="K5" s="3"/>
      <c r="L5" s="3"/>
      <c r="M5" s="3"/>
    </row>
    <row r="6" spans="1:13" ht="29.4" customHeight="1" x14ac:dyDescent="0.3">
      <c r="A6" s="3"/>
      <c r="B6" s="3"/>
      <c r="C6" s="3"/>
      <c r="D6" s="3"/>
      <c r="E6" s="3"/>
      <c r="F6" s="3"/>
      <c r="G6" s="3"/>
      <c r="H6" s="3"/>
      <c r="I6" s="3"/>
      <c r="J6" s="4">
        <f t="shared" si="0"/>
        <v>0</v>
      </c>
      <c r="K6" s="3"/>
      <c r="L6" s="3"/>
      <c r="M6" s="3"/>
    </row>
    <row r="7" spans="1:13" ht="29.4" customHeight="1" x14ac:dyDescent="0.3">
      <c r="A7" s="3"/>
      <c r="B7" s="3"/>
      <c r="C7" s="3"/>
      <c r="D7" s="3"/>
      <c r="E7" s="3"/>
      <c r="F7" s="3"/>
      <c r="G7" s="3"/>
      <c r="H7" s="3"/>
      <c r="I7" s="3"/>
      <c r="J7" s="4">
        <f t="shared" si="0"/>
        <v>0</v>
      </c>
      <c r="K7" s="3"/>
      <c r="L7" s="3"/>
      <c r="M7" s="3"/>
    </row>
    <row r="8" spans="1:13" ht="29.4" customHeight="1" x14ac:dyDescent="0.3">
      <c r="A8" s="3"/>
      <c r="B8" s="3"/>
      <c r="C8" s="3"/>
      <c r="D8" s="3"/>
      <c r="E8" s="3"/>
      <c r="F8" s="3"/>
      <c r="G8" s="3"/>
      <c r="H8" s="3"/>
      <c r="I8" s="3"/>
      <c r="J8" s="4">
        <f t="shared" si="0"/>
        <v>0</v>
      </c>
      <c r="K8" s="3"/>
      <c r="L8" s="3"/>
      <c r="M8" s="3"/>
    </row>
    <row r="9" spans="1:13" ht="29.4" customHeight="1" x14ac:dyDescent="0.3">
      <c r="A9" s="3"/>
      <c r="B9" s="3"/>
      <c r="C9" s="3"/>
      <c r="D9" s="3"/>
      <c r="E9" s="3"/>
      <c r="F9" s="3"/>
      <c r="G9" s="3"/>
      <c r="H9" s="3"/>
      <c r="I9" s="3"/>
      <c r="J9" s="4">
        <f t="shared" si="0"/>
        <v>0</v>
      </c>
      <c r="K9" s="3"/>
      <c r="L9" s="3"/>
      <c r="M9" s="3"/>
    </row>
    <row r="10" spans="1:13" ht="29.4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4">
        <f t="shared" si="0"/>
        <v>0</v>
      </c>
      <c r="K10" s="3"/>
      <c r="L10" s="3"/>
      <c r="M1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:A6"/>
    </sheetView>
  </sheetViews>
  <sheetFormatPr defaultRowHeight="14.4" x14ac:dyDescent="0.3"/>
  <cols>
    <col min="1" max="5" width="25" customWidth="1"/>
  </cols>
  <sheetData>
    <row r="1" spans="1:5" x14ac:dyDescent="0.3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3" cm="1">
        <f t="array" ref="A2">_xlfn.UNIQUE(Training_Attendance_Register!D2:D10)</f>
        <v>0</v>
      </c>
      <c r="B2" s="3" cm="1">
        <f t="array" ref="B2">IFERROR(COUNTA(_xlfn._xlws.FILTER(Training_Attendance_Register!D:D,Training_Attendance_Register!D:D=A2)),0)</f>
        <v>1048575</v>
      </c>
      <c r="C2" s="3">
        <f>IFERROR(AVERAGEIFS(Training_Attendance_Register!J:J,Training_Attendance_Register!D:D,A2),0)</f>
        <v>0</v>
      </c>
      <c r="D2" s="3" cm="1">
        <f t="array" ref="D2">COUNTA(_xlfn.UNIQUE(_xlfn._xlws.FILTER(Training_Attendance_Register!G:G,Training_Attendance_Register!D:D=A2)))</f>
        <v>1</v>
      </c>
      <c r="E2" s="3" cm="1">
        <f t="array" ref="E2">COUNTA(_xlfn.UNIQUE(_xlfn._xlws.FILTER(Training_Attendance_Register!K:K,Training_Attendance_Register!D:D=A2)))</f>
        <v>1</v>
      </c>
    </row>
    <row r="3" spans="1:5" x14ac:dyDescent="0.3">
      <c r="A3" s="3" cm="1">
        <f t="array" ref="A3">_xlfn.UNIQUE(Training_Attendance_Register!D3:D11)</f>
        <v>0</v>
      </c>
      <c r="B3" s="3" cm="1">
        <f t="array" ref="B3">IFERROR(COUNTA(_xlfn._xlws.FILTER(Training_Attendance_Register!D:D,Training_Attendance_Register!D:D=A3)),0)</f>
        <v>1048575</v>
      </c>
      <c r="C3" s="3">
        <f>IFERROR(AVERAGEIFS(Training_Attendance_Register!J:J,Training_Attendance_Register!D:D,A3),0)</f>
        <v>0</v>
      </c>
      <c r="D3" s="3" cm="1">
        <f t="array" ref="D3">COUNTA(_xlfn.UNIQUE(_xlfn._xlws.FILTER(Training_Attendance_Register!G:G,Training_Attendance_Register!D:D=A3)))</f>
        <v>1</v>
      </c>
      <c r="E3" s="3" cm="1">
        <f t="array" ref="E3">COUNTA(_xlfn.UNIQUE(_xlfn._xlws.FILTER(Training_Attendance_Register!K:K,Training_Attendance_Register!D:D=A3)))</f>
        <v>1</v>
      </c>
    </row>
    <row r="4" spans="1:5" x14ac:dyDescent="0.3">
      <c r="A4" s="3" cm="1">
        <f t="array" ref="A4">_xlfn.UNIQUE(Training_Attendance_Register!D4:D12)</f>
        <v>0</v>
      </c>
      <c r="B4" s="3" cm="1">
        <f t="array" ref="B4">IFERROR(COUNTA(_xlfn._xlws.FILTER(Training_Attendance_Register!D:D,Training_Attendance_Register!D:D=A4)),0)</f>
        <v>1048575</v>
      </c>
      <c r="C4" s="3">
        <f>IFERROR(AVERAGEIFS(Training_Attendance_Register!J:J,Training_Attendance_Register!D:D,A4),0)</f>
        <v>0</v>
      </c>
      <c r="D4" s="3" cm="1">
        <f t="array" ref="D4">COUNTA(_xlfn.UNIQUE(_xlfn._xlws.FILTER(Training_Attendance_Register!G:G,Training_Attendance_Register!D:D=A4)))</f>
        <v>1</v>
      </c>
      <c r="E4" s="3" cm="1">
        <f t="array" ref="E4">COUNTA(_xlfn.UNIQUE(_xlfn._xlws.FILTER(Training_Attendance_Register!K:K,Training_Attendance_Register!D:D=A4)))</f>
        <v>1</v>
      </c>
    </row>
    <row r="5" spans="1:5" x14ac:dyDescent="0.3">
      <c r="A5" s="3" cm="1">
        <f t="array" ref="A5">_xlfn.UNIQUE(Training_Attendance_Register!D5:D13)</f>
        <v>0</v>
      </c>
      <c r="B5" s="3" cm="1">
        <f t="array" ref="B5">IFERROR(COUNTA(_xlfn._xlws.FILTER(Training_Attendance_Register!D:D,Training_Attendance_Register!D:D=A5)),0)</f>
        <v>1048575</v>
      </c>
      <c r="C5" s="3">
        <f>IFERROR(AVERAGEIFS(Training_Attendance_Register!J:J,Training_Attendance_Register!D:D,A5),0)</f>
        <v>0</v>
      </c>
      <c r="D5" s="3" cm="1">
        <f t="array" ref="D5">COUNTA(_xlfn.UNIQUE(_xlfn._xlws.FILTER(Training_Attendance_Register!G:G,Training_Attendance_Register!D:D=A5)))</f>
        <v>1</v>
      </c>
      <c r="E5" s="3" cm="1">
        <f t="array" ref="E5">COUNTA(_xlfn.UNIQUE(_xlfn._xlws.FILTER(Training_Attendance_Register!K:K,Training_Attendance_Register!D:D=A5)))</f>
        <v>1</v>
      </c>
    </row>
    <row r="6" spans="1:5" x14ac:dyDescent="0.3">
      <c r="A6" s="3" cm="1">
        <f t="array" ref="A6">_xlfn.UNIQUE(Training_Attendance_Register!D6:D14)</f>
        <v>0</v>
      </c>
      <c r="B6" s="3" cm="1">
        <f t="array" ref="B6">IFERROR(COUNTA(_xlfn._xlws.FILTER(Training_Attendance_Register!D:D,Training_Attendance_Register!D:D=A6)),0)</f>
        <v>1048575</v>
      </c>
      <c r="C6" s="3">
        <f>IFERROR(AVERAGEIFS(Training_Attendance_Register!J:J,Training_Attendance_Register!D:D,A6),0)</f>
        <v>0</v>
      </c>
      <c r="D6" s="3" cm="1">
        <f t="array" ref="D6">COUNTA(_xlfn.UNIQUE(_xlfn._xlws.FILTER(Training_Attendance_Register!G:G,Training_Attendance_Register!D:D=A6)))</f>
        <v>1</v>
      </c>
      <c r="E6" s="3" cm="1">
        <f t="array" ref="E6">COUNTA(_xlfn.UNIQUE(_xlfn._xlws.FILTER(Training_Attendance_Register!K:K,Training_Attendance_Register!D:D=A6)))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"/>
    </sheetView>
  </sheetViews>
  <sheetFormatPr defaultRowHeight="14.4" x14ac:dyDescent="0.3"/>
  <cols>
    <col min="1" max="2" width="35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24</v>
      </c>
    </row>
    <row r="5" spans="1:2" x14ac:dyDescent="0.3">
      <c r="A5" t="s">
        <v>25</v>
      </c>
      <c r="B5" t="s">
        <v>26</v>
      </c>
    </row>
    <row r="6" spans="1:2" x14ac:dyDescent="0.3">
      <c r="A6" t="s">
        <v>27</v>
      </c>
      <c r="B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for use</vt:lpstr>
      <vt:lpstr>Training_Attendance_Register</vt:lpstr>
      <vt:lpstr>Summary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LAPTOP</cp:lastModifiedBy>
  <dcterms:created xsi:type="dcterms:W3CDTF">2025-10-29T08:21:34Z</dcterms:created>
  <dcterms:modified xsi:type="dcterms:W3CDTF">2025-10-29T09:07:10Z</dcterms:modified>
</cp:coreProperties>
</file>